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58C4A333-825D-41FD-B009-6662FBFBB6AE}" xr6:coauthVersionLast="47" xr6:coauthVersionMax="47" xr10:uidLastSave="{00000000-0000-0000-0000-000000000000}"/>
  <bookViews>
    <workbookView xWindow="-108" yWindow="-108" windowWidth="23256" windowHeight="13896" xr2:uid="{17FFD513-0A9A-4A95-A01C-855E08B62E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1" l="1"/>
  <c r="K12" i="1"/>
  <c r="K11" i="1"/>
  <c r="K10" i="1"/>
  <c r="L4" i="1"/>
</calcChain>
</file>

<file path=xl/sharedStrings.xml><?xml version="1.0" encoding="utf-8"?>
<sst xmlns="http://schemas.openxmlformats.org/spreadsheetml/2006/main" count="113" uniqueCount="81">
  <si>
    <t>x1</t>
  </si>
  <si>
    <t>x2</t>
  </si>
  <si>
    <t>x3</t>
  </si>
  <si>
    <t>p</t>
  </si>
  <si>
    <t>lnP</t>
  </si>
  <si>
    <t>b1</t>
  </si>
  <si>
    <t>b2</t>
  </si>
  <si>
    <t>b3</t>
  </si>
  <si>
    <t>ln(b1')</t>
  </si>
  <si>
    <t>ln(b2')</t>
  </si>
  <si>
    <t>ln(b3')</t>
  </si>
  <si>
    <t xml:space="preserve"> ---&gt; vectores que el modelo me da de los beta</t>
  </si>
  <si>
    <t>--&gt; betas del modelo lineal</t>
  </si>
  <si>
    <t>y = BX^T</t>
  </si>
  <si>
    <t>y</t>
  </si>
  <si>
    <t>B</t>
  </si>
  <si>
    <t>X</t>
  </si>
  <si>
    <t>check</t>
  </si>
  <si>
    <t xml:space="preserve">No sé </t>
  </si>
  <si>
    <t xml:space="preserve">ln(y) = toda la formaula feea </t>
  </si>
  <si>
    <t>ln(y)</t>
  </si>
  <si>
    <t>ln(x)</t>
  </si>
  <si>
    <t>0.3 = ln(b1)</t>
  </si>
  <si>
    <t>b1 = e^0.3</t>
  </si>
  <si>
    <t>x4</t>
  </si>
  <si>
    <t>x5</t>
  </si>
  <si>
    <t>target</t>
  </si>
  <si>
    <t>segmento</t>
  </si>
  <si>
    <t>canal de venta</t>
  </si>
  <si>
    <t>prestamo o no prestamo</t>
  </si>
  <si>
    <t>Si</t>
  </si>
  <si>
    <t>base de riesgos</t>
  </si>
  <si>
    <t>gestion</t>
  </si>
  <si>
    <t>cliente - canal</t>
  </si>
  <si>
    <t>qué no define el precio de la casa?</t>
  </si>
  <si>
    <t>vendedor</t>
  </si>
  <si>
    <t>v1</t>
  </si>
  <si>
    <t>v2</t>
  </si>
  <si>
    <t>…</t>
  </si>
  <si>
    <t>v200</t>
  </si>
  <si>
    <t>precio</t>
  </si>
  <si>
    <t>Arbol condicional:</t>
  </si>
  <si>
    <t>target = precio</t>
  </si>
  <si>
    <t>variables X</t>
  </si>
  <si>
    <t>variables X'</t>
  </si>
  <si>
    <t>canal televentas</t>
  </si>
  <si>
    <t>canal app mobil o web + canal tienda</t>
  </si>
  <si>
    <t>3 canales</t>
  </si>
  <si>
    <t>3 modelos</t>
  </si>
  <si>
    <t>2 modelos</t>
  </si>
  <si>
    <t xml:space="preserve">Es posible hacer un modelo para todo tipo de precio iunmobiliario? </t>
  </si>
  <si>
    <t>[0-100,000]</t>
  </si>
  <si>
    <t>grupo 1</t>
  </si>
  <si>
    <t>grupo 2</t>
  </si>
  <si>
    <t>[100,000 - 200 k]</t>
  </si>
  <si>
    <t>grupo 3</t>
  </si>
  <si>
    <t>&gt; 200k]</t>
  </si>
  <si>
    <t>Precios inmobiliarios</t>
  </si>
  <si>
    <t xml:space="preserve"> alrededor de la región</t>
  </si>
  <si>
    <t>centricos</t>
  </si>
  <si>
    <t>region</t>
  </si>
  <si>
    <t>indicadores</t>
  </si>
  <si>
    <t>Gini</t>
  </si>
  <si>
    <t>error :</t>
  </si>
  <si>
    <t>predicho - real</t>
  </si>
  <si>
    <t>Que si o si debemos tener?</t>
  </si>
  <si>
    <t>laltidud</t>
  </si>
  <si>
    <t>longitud</t>
  </si>
  <si>
    <t>otro modelo sin ubicación</t>
  </si>
  <si>
    <t>cantidad</t>
  </si>
  <si>
    <t>porcentaje</t>
  </si>
  <si>
    <t>x%</t>
  </si>
  <si>
    <t>y%</t>
  </si>
  <si>
    <t>z%</t>
  </si>
  <si>
    <t>w%</t>
  </si>
  <si>
    <t>latidud / long</t>
  </si>
  <si>
    <t>landsize</t>
  </si>
  <si>
    <t>precio/m^2</t>
  </si>
  <si>
    <t>car</t>
  </si>
  <si>
    <t>bathroom</t>
  </si>
  <si>
    <t>YearBuilt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</si>
</sst>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quotePrefix="1"/>
    <xf numFmtId="43" fontId="0" fillId="0" borderId="0" xfId="1" applyFont="1"/>
    <xf numFmtId="0" fontId="0" fillId="2" borderId="0" xfId="0" applyFill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9" fontId="0" fillId="0" borderId="0" xfId="0" applyNumberFormat="1"/>
    <xf numFmtId="0" fontId="0" fillId="0" borderId="0" xfId="0" applyAlignment="1"/>
    <xf numFmtId="9" fontId="0" fillId="0" borderId="1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FE5A-A992-43C7-A238-49BC2F037905}">
  <dimension ref="A1:AB50"/>
  <sheetViews>
    <sheetView tabSelected="1" topLeftCell="C1" zoomScale="54" workbookViewId="0">
      <selection activeCell="X44" sqref="X44"/>
    </sheetView>
  </sheetViews>
  <sheetFormatPr baseColWidth="10" defaultRowHeight="14.4" x14ac:dyDescent="0.3"/>
  <cols>
    <col min="12" max="12" width="12" bestFit="1" customWidth="1"/>
    <col min="15" max="15" width="13.33203125" bestFit="1" customWidth="1"/>
    <col min="19" max="19" width="22.5546875" bestFit="1" customWidth="1"/>
    <col min="20" max="20" width="21.6640625" bestFit="1" customWidth="1"/>
  </cols>
  <sheetData>
    <row r="1" spans="1:28" x14ac:dyDescent="0.3">
      <c r="B1">
        <v>0.3</v>
      </c>
      <c r="C1">
        <v>0.2</v>
      </c>
      <c r="D1">
        <v>0.1</v>
      </c>
      <c r="H1">
        <v>0.3</v>
      </c>
      <c r="I1">
        <v>0.2</v>
      </c>
      <c r="J1">
        <v>0.1</v>
      </c>
      <c r="K1" t="s">
        <v>11</v>
      </c>
      <c r="O1" t="s">
        <v>31</v>
      </c>
      <c r="P1">
        <v>1000</v>
      </c>
      <c r="R1" t="s">
        <v>32</v>
      </c>
      <c r="S1">
        <v>100</v>
      </c>
      <c r="U1" t="s">
        <v>33</v>
      </c>
    </row>
    <row r="2" spans="1:28" ht="15" thickBot="1" x14ac:dyDescent="0.35">
      <c r="B2" t="s">
        <v>5</v>
      </c>
      <c r="C2" t="s">
        <v>6</v>
      </c>
      <c r="D2" t="s">
        <v>7</v>
      </c>
      <c r="E2" s="13" t="s">
        <v>12</v>
      </c>
      <c r="H2" t="s">
        <v>8</v>
      </c>
      <c r="I2" t="s">
        <v>9</v>
      </c>
      <c r="J2" t="s">
        <v>10</v>
      </c>
    </row>
    <row r="3" spans="1:28" ht="15" thickBot="1" x14ac:dyDescent="0.35">
      <c r="B3" s="10" t="s">
        <v>0</v>
      </c>
      <c r="C3" s="11" t="s">
        <v>1</v>
      </c>
      <c r="D3" s="11" t="s">
        <v>2</v>
      </c>
      <c r="E3" s="12" t="s">
        <v>3</v>
      </c>
      <c r="H3" s="10" t="s">
        <v>0</v>
      </c>
      <c r="I3" s="11" t="s">
        <v>1</v>
      </c>
      <c r="J3" s="11" t="s">
        <v>2</v>
      </c>
      <c r="K3" s="12" t="s">
        <v>4</v>
      </c>
      <c r="P3" t="s">
        <v>0</v>
      </c>
      <c r="Q3" t="s">
        <v>1</v>
      </c>
      <c r="R3" t="s">
        <v>2</v>
      </c>
      <c r="S3" s="15" t="s">
        <v>27</v>
      </c>
      <c r="T3" t="s">
        <v>25</v>
      </c>
      <c r="U3" t="s">
        <v>26</v>
      </c>
      <c r="X3" t="s">
        <v>34</v>
      </c>
    </row>
    <row r="4" spans="1:28" x14ac:dyDescent="0.3">
      <c r="B4" s="1"/>
      <c r="C4" s="2"/>
      <c r="D4" s="2"/>
      <c r="E4" s="3"/>
      <c r="H4" s="1">
        <v>2</v>
      </c>
      <c r="I4" s="2">
        <v>200</v>
      </c>
      <c r="J4" s="2">
        <v>1</v>
      </c>
      <c r="K4" s="3">
        <v>12</v>
      </c>
      <c r="L4" s="14">
        <f>EXP(K4)</f>
        <v>162754.79141900392</v>
      </c>
      <c r="P4">
        <v>18</v>
      </c>
      <c r="Q4">
        <v>5000</v>
      </c>
      <c r="R4">
        <v>15000</v>
      </c>
      <c r="S4" s="15" t="s">
        <v>28</v>
      </c>
      <c r="T4" t="s">
        <v>30</v>
      </c>
      <c r="U4" t="s">
        <v>29</v>
      </c>
      <c r="X4" t="s">
        <v>35</v>
      </c>
      <c r="Y4" t="s">
        <v>36</v>
      </c>
      <c r="Z4" t="s">
        <v>26</v>
      </c>
    </row>
    <row r="5" spans="1:28" x14ac:dyDescent="0.3">
      <c r="B5" s="4"/>
      <c r="C5" s="5"/>
      <c r="D5" s="5"/>
      <c r="E5" s="6"/>
      <c r="H5" s="4"/>
      <c r="I5" s="5"/>
      <c r="J5" s="5"/>
      <c r="K5" s="6"/>
      <c r="S5" s="15"/>
      <c r="Y5" t="s">
        <v>37</v>
      </c>
      <c r="Z5" t="s">
        <v>40</v>
      </c>
    </row>
    <row r="6" spans="1:28" x14ac:dyDescent="0.3">
      <c r="B6" s="4"/>
      <c r="C6" s="5"/>
      <c r="D6" s="5"/>
      <c r="E6" s="6"/>
      <c r="H6" s="4"/>
      <c r="I6" s="5"/>
      <c r="J6" s="5"/>
      <c r="K6" s="6"/>
      <c r="S6" s="15"/>
      <c r="Y6" t="s">
        <v>38</v>
      </c>
    </row>
    <row r="7" spans="1:28" x14ac:dyDescent="0.3">
      <c r="B7" s="4"/>
      <c r="C7" s="5"/>
      <c r="D7" s="5"/>
      <c r="E7" s="6"/>
      <c r="H7" s="4"/>
      <c r="I7" s="5"/>
      <c r="J7" s="5"/>
      <c r="K7" s="6"/>
      <c r="S7" s="15"/>
      <c r="Y7" t="s">
        <v>39</v>
      </c>
    </row>
    <row r="8" spans="1:28" ht="15" thickBot="1" x14ac:dyDescent="0.35">
      <c r="B8" s="7"/>
      <c r="C8" s="8"/>
      <c r="D8" s="8"/>
      <c r="E8" s="9"/>
      <c r="H8" s="7"/>
      <c r="I8" s="8"/>
      <c r="J8" s="8"/>
      <c r="K8" s="9"/>
      <c r="S8" s="15"/>
    </row>
    <row r="9" spans="1:28" x14ac:dyDescent="0.3">
      <c r="I9" s="13" t="s">
        <v>22</v>
      </c>
      <c r="J9" s="13" t="s">
        <v>23</v>
      </c>
      <c r="S9" s="15"/>
    </row>
    <row r="10" spans="1:28" x14ac:dyDescent="0.3">
      <c r="J10">
        <v>0.8</v>
      </c>
      <c r="K10">
        <f>EXP(J10)</f>
        <v>2.2255409284924679</v>
      </c>
      <c r="L10" t="s">
        <v>5</v>
      </c>
      <c r="S10" s="15"/>
      <c r="X10" t="s">
        <v>41</v>
      </c>
      <c r="AA10" t="s">
        <v>47</v>
      </c>
      <c r="AB10" t="s">
        <v>48</v>
      </c>
    </row>
    <row r="11" spans="1:28" x14ac:dyDescent="0.3">
      <c r="B11" t="s">
        <v>13</v>
      </c>
      <c r="G11" t="s">
        <v>19</v>
      </c>
      <c r="J11">
        <v>0.6</v>
      </c>
      <c r="K11">
        <f>EXP(J11)</f>
        <v>1.8221188003905089</v>
      </c>
      <c r="L11" t="s">
        <v>6</v>
      </c>
      <c r="P11" t="s">
        <v>63</v>
      </c>
      <c r="Q11" t="s">
        <v>64</v>
      </c>
      <c r="R11">
        <f>100000-50000</f>
        <v>50000</v>
      </c>
      <c r="S11" s="15"/>
      <c r="AA11" t="s">
        <v>47</v>
      </c>
      <c r="AB11" t="s">
        <v>49</v>
      </c>
    </row>
    <row r="12" spans="1:28" x14ac:dyDescent="0.3">
      <c r="J12">
        <v>0.1</v>
      </c>
      <c r="K12">
        <f>EXP(J12)</f>
        <v>1.1051709180756477</v>
      </c>
      <c r="L12" t="s">
        <v>7</v>
      </c>
      <c r="Y12" t="s">
        <v>42</v>
      </c>
    </row>
    <row r="13" spans="1:28" x14ac:dyDescent="0.3">
      <c r="A13" t="s">
        <v>14</v>
      </c>
      <c r="B13" t="s">
        <v>17</v>
      </c>
      <c r="G13" t="s">
        <v>20</v>
      </c>
      <c r="H13" t="s">
        <v>17</v>
      </c>
    </row>
    <row r="14" spans="1:28" ht="15" thickBot="1" x14ac:dyDescent="0.35">
      <c r="A14" t="s">
        <v>15</v>
      </c>
      <c r="B14" t="s">
        <v>18</v>
      </c>
      <c r="G14" t="s">
        <v>15</v>
      </c>
      <c r="H14" t="s">
        <v>18</v>
      </c>
      <c r="W14" t="s">
        <v>45</v>
      </c>
      <c r="Y14" t="s">
        <v>46</v>
      </c>
    </row>
    <row r="15" spans="1:28" x14ac:dyDescent="0.3">
      <c r="A15" t="s">
        <v>16</v>
      </c>
      <c r="B15" t="s">
        <v>17</v>
      </c>
      <c r="G15" t="s">
        <v>21</v>
      </c>
      <c r="H15" t="s">
        <v>17</v>
      </c>
      <c r="P15" t="s">
        <v>50</v>
      </c>
      <c r="W15" s="16" t="s">
        <v>43</v>
      </c>
      <c r="Y15" s="16" t="s">
        <v>44</v>
      </c>
      <c r="AB15" s="16"/>
    </row>
    <row r="16" spans="1:28" x14ac:dyDescent="0.3">
      <c r="R16" t="s">
        <v>57</v>
      </c>
      <c r="W16" s="17"/>
      <c r="Y16" s="17"/>
      <c r="AB16" s="17"/>
    </row>
    <row r="17" spans="15:28" x14ac:dyDescent="0.3">
      <c r="P17" t="s">
        <v>52</v>
      </c>
      <c r="Q17" t="s">
        <v>60</v>
      </c>
      <c r="R17" t="s">
        <v>53</v>
      </c>
      <c r="T17" t="s">
        <v>55</v>
      </c>
      <c r="W17" s="17"/>
      <c r="Y17" s="17"/>
      <c r="AB17" s="17"/>
    </row>
    <row r="18" spans="15:28" x14ac:dyDescent="0.3">
      <c r="P18" t="s">
        <v>51</v>
      </c>
      <c r="R18" t="s">
        <v>54</v>
      </c>
      <c r="T18" t="s">
        <v>56</v>
      </c>
      <c r="W18" s="17"/>
      <c r="Y18" s="17"/>
      <c r="AB18" s="17"/>
    </row>
    <row r="19" spans="15:28" ht="15" thickBot="1" x14ac:dyDescent="0.35">
      <c r="P19" t="s">
        <v>0</v>
      </c>
      <c r="R19" t="s">
        <v>1</v>
      </c>
      <c r="T19" t="s">
        <v>2</v>
      </c>
      <c r="W19" s="18"/>
      <c r="Y19" s="18"/>
      <c r="AB19" s="18"/>
    </row>
    <row r="20" spans="15:28" x14ac:dyDescent="0.3">
      <c r="P20" t="s">
        <v>1</v>
      </c>
      <c r="R20" t="s">
        <v>2</v>
      </c>
      <c r="T20" t="s">
        <v>24</v>
      </c>
    </row>
    <row r="21" spans="15:28" x14ac:dyDescent="0.3">
      <c r="P21" t="s">
        <v>2</v>
      </c>
      <c r="R21" t="s">
        <v>24</v>
      </c>
      <c r="T21" t="s">
        <v>25</v>
      </c>
      <c r="W21" t="s">
        <v>0</v>
      </c>
      <c r="Y21" t="s">
        <v>1</v>
      </c>
    </row>
    <row r="22" spans="15:28" x14ac:dyDescent="0.3">
      <c r="W22" t="s">
        <v>1</v>
      </c>
      <c r="Y22" t="s">
        <v>2</v>
      </c>
    </row>
    <row r="23" spans="15:28" x14ac:dyDescent="0.3">
      <c r="P23" s="13" t="s">
        <v>58</v>
      </c>
      <c r="T23" t="s">
        <v>59</v>
      </c>
      <c r="W23" t="s">
        <v>2</v>
      </c>
    </row>
    <row r="27" spans="15:28" x14ac:dyDescent="0.3">
      <c r="O27" t="s">
        <v>62</v>
      </c>
      <c r="R27">
        <v>0.7</v>
      </c>
    </row>
    <row r="29" spans="15:28" x14ac:dyDescent="0.3">
      <c r="P29" t="s">
        <v>61</v>
      </c>
    </row>
    <row r="30" spans="15:28" x14ac:dyDescent="0.3">
      <c r="O30" t="s">
        <v>62</v>
      </c>
      <c r="P30">
        <v>0.9</v>
      </c>
      <c r="R30">
        <v>0.8</v>
      </c>
      <c r="T30">
        <v>0.7</v>
      </c>
    </row>
    <row r="31" spans="15:28" x14ac:dyDescent="0.3">
      <c r="X31" t="s">
        <v>77</v>
      </c>
    </row>
    <row r="36" spans="19:25" x14ac:dyDescent="0.3">
      <c r="U36" t="s">
        <v>75</v>
      </c>
      <c r="V36" t="s">
        <v>76</v>
      </c>
      <c r="W36" t="s">
        <v>79</v>
      </c>
      <c r="X36" t="s">
        <v>78</v>
      </c>
      <c r="Y36" t="s">
        <v>80</v>
      </c>
    </row>
    <row r="38" spans="19:25" x14ac:dyDescent="0.3">
      <c r="U38" t="s">
        <v>69</v>
      </c>
      <c r="V38" t="s">
        <v>69</v>
      </c>
    </row>
    <row r="39" spans="19:25" ht="15" thickBot="1" x14ac:dyDescent="0.35">
      <c r="U39" s="19" t="s">
        <v>70</v>
      </c>
      <c r="V39" s="19" t="s">
        <v>70</v>
      </c>
    </row>
    <row r="40" spans="19:25" x14ac:dyDescent="0.3">
      <c r="S40" t="s">
        <v>65</v>
      </c>
      <c r="U40" s="21">
        <v>0.8</v>
      </c>
      <c r="V40" s="16" t="s">
        <v>71</v>
      </c>
    </row>
    <row r="41" spans="19:25" x14ac:dyDescent="0.3">
      <c r="S41" t="s">
        <v>66</v>
      </c>
      <c r="U41" s="17"/>
      <c r="V41" s="17"/>
    </row>
    <row r="42" spans="19:25" x14ac:dyDescent="0.3">
      <c r="S42" t="s">
        <v>67</v>
      </c>
      <c r="U42" s="17"/>
      <c r="V42" s="17"/>
    </row>
    <row r="43" spans="19:25" x14ac:dyDescent="0.3">
      <c r="U43" s="17"/>
      <c r="V43" s="17"/>
    </row>
    <row r="44" spans="19:25" ht="15" thickBot="1" x14ac:dyDescent="0.35">
      <c r="U44" s="17"/>
      <c r="V44" s="17"/>
    </row>
    <row r="45" spans="19:25" x14ac:dyDescent="0.3">
      <c r="U45" s="17"/>
      <c r="V45" s="16" t="s">
        <v>72</v>
      </c>
    </row>
    <row r="46" spans="19:25" ht="15" thickBot="1" x14ac:dyDescent="0.35">
      <c r="U46" s="18"/>
      <c r="V46" s="18"/>
    </row>
    <row r="47" spans="19:25" ht="15" thickBot="1" x14ac:dyDescent="0.35">
      <c r="T47" t="s">
        <v>68</v>
      </c>
      <c r="U47" s="21">
        <v>0.2</v>
      </c>
      <c r="V47" s="22" t="s">
        <v>73</v>
      </c>
    </row>
    <row r="48" spans="19:25" ht="15" thickBot="1" x14ac:dyDescent="0.35">
      <c r="U48" s="18"/>
      <c r="V48" s="22" t="s">
        <v>74</v>
      </c>
    </row>
    <row r="49" spans="21:21" x14ac:dyDescent="0.3">
      <c r="U49" s="20"/>
    </row>
    <row r="50" spans="21:21" x14ac:dyDescent="0.3">
      <c r="U50" s="20"/>
    </row>
  </sheetData>
  <mergeCells count="7">
    <mergeCell ref="W15:W19"/>
    <mergeCell ref="Y15:Y19"/>
    <mergeCell ref="AB15:AB19"/>
    <mergeCell ref="U40:U46"/>
    <mergeCell ref="U47:U48"/>
    <mergeCell ref="V40:V44"/>
    <mergeCell ref="V45:V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Rondan</dc:creator>
  <cp:lastModifiedBy>Carlos Rondan</cp:lastModifiedBy>
  <dcterms:created xsi:type="dcterms:W3CDTF">2025-05-24T15:00:15Z</dcterms:created>
  <dcterms:modified xsi:type="dcterms:W3CDTF">2025-05-24T15:49:33Z</dcterms:modified>
</cp:coreProperties>
</file>